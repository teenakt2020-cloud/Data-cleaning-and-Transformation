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eena\Downloads\"/>
    </mc:Choice>
  </mc:AlternateContent>
  <xr:revisionPtr revIDLastSave="0" documentId="13_ncr:1_{23C82CC2-F101-46E0-A052-43A6192EE4D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</calcChain>
</file>

<file path=xl/sharedStrings.xml><?xml version="1.0" encoding="utf-8"?>
<sst xmlns="http://schemas.openxmlformats.org/spreadsheetml/2006/main" count="260" uniqueCount="149">
  <si>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</si>
  <si>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</si>
  <si>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</si>
  <si>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</si>
  <si>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</si>
  <si>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</si>
  <si>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</si>
  <si>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</si>
  <si>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</si>
  <si>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</si>
  <si>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</si>
  <si>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</si>
  <si>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</si>
  <si>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</si>
  <si>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</si>
  <si>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</si>
  <si>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</si>
  <si>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</si>
  <si>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</si>
  <si>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</si>
  <si>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</si>
  <si>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</si>
  <si>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</si>
  <si>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</si>
  <si>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</si>
  <si>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</si>
  <si>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</si>
  <si>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</si>
  <si>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</si>
  <si>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</si>
  <si>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</si>
  <si>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</si>
  <si>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</si>
  <si>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</si>
  <si>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</si>
  <si>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</si>
  <si>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</si>
  <si>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</si>
  <si>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</si>
  <si>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</si>
  <si>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</si>
  <si>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</si>
  <si>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</si>
  <si>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</si>
  <si>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</si>
  <si>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</si>
  <si>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</si>
  <si>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</si>
  <si>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</si>
  <si>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</si>
  <si>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</si>
  <si>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</si>
  <si>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</si>
  <si>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</si>
  <si>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</si>
  <si>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</si>
  <si>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</si>
  <si>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</si>
  <si>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</si>
  <si>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</si>
  <si>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</si>
  <si>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</si>
  <si>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</si>
  <si>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</si>
  <si>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</si>
  <si>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</si>
  <si>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</si>
  <si>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</si>
  <si>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</si>
  <si>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</si>
  <si>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</si>
  <si>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</si>
  <si>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</si>
  <si>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</si>
  <si>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</si>
  <si>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</si>
  <si>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</si>
  <si>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</si>
  <si>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</si>
  <si>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</si>
  <si>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</si>
  <si>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</si>
  <si>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</si>
  <si>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</si>
  <si>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</si>
  <si>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</si>
  <si>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</si>
  <si>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</si>
  <si>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</si>
  <si>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</si>
  <si>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</si>
  <si>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</si>
  <si>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</si>
  <si>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</si>
  <si>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</si>
  <si>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</si>
  <si>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</si>
  <si>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</si>
  <si>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</si>
  <si>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</si>
  <si>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</si>
  <si>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</si>
  <si>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</si>
  <si>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</si>
  <si>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</si>
  <si>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</si>
  <si>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</si>
  <si>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</si>
  <si>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</si>
  <si>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</si>
  <si>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</si>
  <si>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</si>
  <si>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</si>
  <si>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</si>
  <si>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No values</t>
  </si>
  <si>
    <t>No value</t>
  </si>
  <si>
    <t>Manufacturing Date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</si>
  <si>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</si>
  <si>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</si>
  <si>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</si>
  <si>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</si>
  <si>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</si>
  <si>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</si>
  <si>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</si>
  <si>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</si>
  <si>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</si>
  <si>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</si>
  <si>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</si>
  <si>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</si>
  <si>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</si>
  <si>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</si>
  <si>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</si>
  <si>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</si>
  <si>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</si>
  <si>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</si>
  <si>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</si>
  <si>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</si>
  <si>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</si>
  <si>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</si>
  <si>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</si>
  <si>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</si>
  <si>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Country Code</t>
  </si>
  <si>
    <t>date and month</t>
  </si>
  <si>
    <t>Product brand</t>
  </si>
  <si>
    <t>Currency</t>
  </si>
  <si>
    <t>Formated Date</t>
  </si>
  <si>
    <t>Price data bar</t>
  </si>
  <si>
    <t>Highlighted Electronics</t>
  </si>
  <si>
    <t>We can replace missing products by, select price coloumn then goto home--&gt;Find and select--&gt;Blanks. Then enter "No value". Then press ctrl + enter.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</si>
</sst>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3" borderId="0" xfId="0" applyFont="1" applyFill="1"/>
    <xf numFmtId="0" fontId="8" fillId="0" borderId="0" xfId="0" applyFont="1"/>
    <xf numFmtId="0" fontId="7" fillId="2" borderId="0" xfId="0" applyFont="1" applyFill="1" applyAlignment="1">
      <alignment horizontal="center"/>
    </xf>
    <xf numFmtId="165" fontId="5" fillId="0" borderId="0" xfId="0" applyNumberFormat="1" applyFont="1"/>
    <xf numFmtId="165" fontId="5" fillId="3" borderId="0" xfId="0" applyNumberFormat="1" applyFont="1" applyFill="1"/>
    <xf numFmtId="0" fontId="9" fillId="0" borderId="0" xfId="0" applyFont="1"/>
    <xf numFmtId="0" fontId="10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zoomScale="93" zoomScaleNormal="85" workbookViewId="0">
      <selection activeCell="B36" sqref="B36"/>
    </sheetView>
  </sheetViews>
  <sheetFormatPr defaultColWidth="12.6640625" defaultRowHeight="15" customHeight="1" x14ac:dyDescent="0.25"/>
  <cols>
    <col min="1" max="6" width="12.6640625" customWidth="1"/>
    <col min="7" max="7" width="19.109375" bestFit="1" customWidth="1"/>
    <col min="10" max="10" width="19.109375" bestFit="1" customWidth="1"/>
    <col min="11" max="11" width="22.21875" bestFit="1" customWidth="1"/>
    <col min="13" max="13" width="14.5546875" bestFit="1" customWidth="1"/>
    <col min="14" max="14" width="13.6640625" bestFit="1" customWidth="1"/>
    <col min="15" max="15" width="22.5546875" bestFit="1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11" t="s">
        <v>142</v>
      </c>
      <c r="H1" s="11"/>
      <c r="I1" s="7" t="s">
        <v>141</v>
      </c>
      <c r="J1" s="7" t="s">
        <v>116</v>
      </c>
      <c r="K1" s="7" t="s">
        <v>143</v>
      </c>
      <c r="L1" s="7" t="s">
        <v>144</v>
      </c>
      <c r="M1" s="15" t="s">
        <v>145</v>
      </c>
      <c r="N1" s="15" t="s">
        <v>146</v>
      </c>
      <c r="O1" s="15" t="s">
        <v>147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  <c r="G2" s="5">
        <v>28</v>
      </c>
      <c r="H2" t="s">
        <v>117</v>
      </c>
      <c r="I2" t="s">
        <v>118</v>
      </c>
      <c r="J2" t="str">
        <f>G2&amp;"-"&amp;H2</f>
        <v>28-JAN</v>
      </c>
      <c r="K2" t="str">
        <f>_xlfn.CONCAT(B2," ",C2)</f>
        <v>laptop Dell</v>
      </c>
      <c r="L2" s="12">
        <v>1000</v>
      </c>
      <c r="M2" s="16">
        <f>DATEVALUE(J2)</f>
        <v>46050</v>
      </c>
      <c r="N2" s="5">
        <v>1000</v>
      </c>
      <c r="O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G3" s="8">
        <v>15</v>
      </c>
      <c r="H3" t="s">
        <v>119</v>
      </c>
      <c r="I3" s="2" t="s">
        <v>118</v>
      </c>
      <c r="J3" t="str">
        <f t="shared" ref="J3:J32" si="0">G3&amp;"-"&amp;H3</f>
        <v>15-FEB</v>
      </c>
      <c r="K3" t="str">
        <f t="shared" ref="K3:K32" si="1">_xlfn.CONCAT(B3," ",C3)</f>
        <v>Sneakers Nike</v>
      </c>
      <c r="L3" s="13">
        <v>80</v>
      </c>
      <c r="M3" s="16">
        <f t="shared" ref="M3:M32" si="2">DATEVALUE(J3)</f>
        <v>46068</v>
      </c>
      <c r="N3" s="8">
        <v>80</v>
      </c>
      <c r="O3" s="8" t="s">
        <v>32</v>
      </c>
      <c r="P3" s="5"/>
    </row>
    <row r="4" spans="1:1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G4" s="5">
        <v>3</v>
      </c>
      <c r="H4" t="s">
        <v>120</v>
      </c>
      <c r="I4" s="5" t="s">
        <v>118</v>
      </c>
      <c r="J4" t="str">
        <f t="shared" si="0"/>
        <v>3-MAR</v>
      </c>
      <c r="K4" t="str">
        <f t="shared" si="1"/>
        <v>Coffee Maker Keurig</v>
      </c>
      <c r="L4" s="12">
        <v>130</v>
      </c>
      <c r="M4" s="16">
        <f t="shared" si="2"/>
        <v>46084</v>
      </c>
      <c r="N4" s="5">
        <v>130</v>
      </c>
      <c r="O4" s="5" t="s">
        <v>36</v>
      </c>
      <c r="P4" s="5"/>
    </row>
    <row r="5" spans="1:16" ht="15.75" customHeight="1" x14ac:dyDescent="0.25">
      <c r="A5" s="8" t="s">
        <v>37</v>
      </c>
      <c r="B5" s="9" t="s">
        <v>94</v>
      </c>
      <c r="C5" s="8" t="s">
        <v>38</v>
      </c>
      <c r="D5" s="8">
        <v>900</v>
      </c>
      <c r="E5" s="8">
        <v>25</v>
      </c>
      <c r="F5" s="8" t="s">
        <v>28</v>
      </c>
      <c r="G5" s="8">
        <v>11</v>
      </c>
      <c r="H5" t="s">
        <v>121</v>
      </c>
      <c r="I5" s="5" t="s">
        <v>118</v>
      </c>
      <c r="J5" t="str">
        <f t="shared" si="0"/>
        <v>11-APR</v>
      </c>
      <c r="K5" t="str">
        <f t="shared" si="1"/>
        <v>Smartphone Samsung</v>
      </c>
      <c r="L5" s="13">
        <v>900</v>
      </c>
      <c r="M5" s="16">
        <f t="shared" si="2"/>
        <v>46123</v>
      </c>
      <c r="N5" s="8">
        <v>900</v>
      </c>
      <c r="O5" s="8" t="s">
        <v>28</v>
      </c>
      <c r="P5" s="5"/>
    </row>
    <row r="6" spans="1:16" ht="15.75" customHeight="1" x14ac:dyDescent="0.25">
      <c r="A6" s="5" t="s">
        <v>39</v>
      </c>
      <c r="B6" s="5" t="s">
        <v>40</v>
      </c>
      <c r="C6" s="5" t="s">
        <v>41</v>
      </c>
      <c r="D6" s="5">
        <v>70</v>
      </c>
      <c r="E6" s="5">
        <v>20</v>
      </c>
      <c r="F6" s="5" t="s">
        <v>115</v>
      </c>
      <c r="G6" s="5">
        <v>22</v>
      </c>
      <c r="H6" t="s">
        <v>122</v>
      </c>
      <c r="I6" t="s">
        <v>118</v>
      </c>
      <c r="J6" t="str">
        <f t="shared" si="0"/>
        <v>22-MAY</v>
      </c>
      <c r="K6" t="str">
        <f t="shared" si="1"/>
        <v>Backpack North Face</v>
      </c>
      <c r="L6" s="12">
        <v>70</v>
      </c>
      <c r="M6" s="16">
        <f t="shared" si="2"/>
        <v>46164</v>
      </c>
      <c r="N6" s="5">
        <v>70</v>
      </c>
      <c r="O6" s="5" t="s">
        <v>115</v>
      </c>
    </row>
    <row r="7" spans="1:16" ht="15.75" customHeight="1" x14ac:dyDescent="0.25">
      <c r="A7" s="8" t="s">
        <v>42</v>
      </c>
      <c r="B7" s="8" t="s">
        <v>43</v>
      </c>
      <c r="C7" s="8" t="s">
        <v>44</v>
      </c>
      <c r="D7" s="8" t="s">
        <v>114</v>
      </c>
      <c r="E7" s="8">
        <v>45</v>
      </c>
      <c r="F7" s="8" t="s">
        <v>45</v>
      </c>
      <c r="G7" s="8">
        <v>7</v>
      </c>
      <c r="H7" t="s">
        <v>123</v>
      </c>
      <c r="I7" t="s">
        <v>124</v>
      </c>
      <c r="J7" t="str">
        <f t="shared" si="0"/>
        <v>7-JUN</v>
      </c>
      <c r="K7" t="str">
        <f t="shared" si="1"/>
        <v>Headphones Sony</v>
      </c>
      <c r="L7" s="13" t="s">
        <v>114</v>
      </c>
      <c r="M7" s="16">
        <f t="shared" si="2"/>
        <v>46180</v>
      </c>
      <c r="N7" s="8" t="s">
        <v>114</v>
      </c>
      <c r="O7" s="8" t="s">
        <v>45</v>
      </c>
    </row>
    <row r="8" spans="1:16" ht="15.75" customHeight="1" x14ac:dyDescent="0.25">
      <c r="A8" s="5" t="s">
        <v>46</v>
      </c>
      <c r="B8" s="5" t="s">
        <v>47</v>
      </c>
      <c r="C8" s="5" t="s">
        <v>48</v>
      </c>
      <c r="D8" s="5">
        <v>30</v>
      </c>
      <c r="E8" s="5">
        <v>5</v>
      </c>
      <c r="F8" s="5" t="s">
        <v>32</v>
      </c>
      <c r="G8" s="5">
        <v>19</v>
      </c>
      <c r="H8" t="s">
        <v>125</v>
      </c>
      <c r="I8" t="s">
        <v>124</v>
      </c>
      <c r="J8" t="str">
        <f t="shared" si="0"/>
        <v>19-JUL</v>
      </c>
      <c r="K8" t="str">
        <f t="shared" si="1"/>
        <v>T-shirt Adidas</v>
      </c>
      <c r="L8" s="12">
        <v>30</v>
      </c>
      <c r="M8" s="16">
        <f t="shared" si="2"/>
        <v>46222</v>
      </c>
      <c r="N8" s="5">
        <v>30</v>
      </c>
      <c r="O8" s="5" t="s">
        <v>32</v>
      </c>
    </row>
    <row r="9" spans="1:16" ht="15.75" customHeight="1" x14ac:dyDescent="0.25">
      <c r="A9" s="8" t="s">
        <v>49</v>
      </c>
      <c r="B9" s="8" t="s">
        <v>50</v>
      </c>
      <c r="C9" s="8" t="s">
        <v>51</v>
      </c>
      <c r="D9" s="8">
        <v>90</v>
      </c>
      <c r="E9" s="8">
        <v>35</v>
      </c>
      <c r="F9" s="8" t="s">
        <v>36</v>
      </c>
      <c r="G9" s="8">
        <v>23</v>
      </c>
      <c r="H9" t="s">
        <v>126</v>
      </c>
      <c r="I9" t="s">
        <v>124</v>
      </c>
      <c r="J9" t="str">
        <f t="shared" si="0"/>
        <v>23-AUG</v>
      </c>
      <c r="K9" t="str">
        <f t="shared" si="1"/>
        <v>Blender Ninja</v>
      </c>
      <c r="L9" s="13">
        <v>90</v>
      </c>
      <c r="M9" s="16">
        <f t="shared" si="2"/>
        <v>46257</v>
      </c>
      <c r="N9" s="8">
        <v>90</v>
      </c>
      <c r="O9" s="8" t="s">
        <v>36</v>
      </c>
    </row>
    <row r="10" spans="1:16" ht="15.75" customHeight="1" x14ac:dyDescent="0.25">
      <c r="A10" s="5" t="s">
        <v>52</v>
      </c>
      <c r="B10" s="5" t="s">
        <v>53</v>
      </c>
      <c r="C10" s="5" t="s">
        <v>54</v>
      </c>
      <c r="D10" s="5">
        <v>500</v>
      </c>
      <c r="E10" s="5">
        <v>50</v>
      </c>
      <c r="F10" s="5" t="s">
        <v>28</v>
      </c>
      <c r="G10" s="5">
        <v>5</v>
      </c>
      <c r="H10" t="s">
        <v>127</v>
      </c>
      <c r="I10" t="s">
        <v>124</v>
      </c>
      <c r="J10" t="str">
        <f t="shared" si="0"/>
        <v>5-SEP</v>
      </c>
      <c r="K10" t="str">
        <f t="shared" si="1"/>
        <v>Tablet Apple</v>
      </c>
      <c r="L10" s="12">
        <v>500</v>
      </c>
      <c r="M10" s="16">
        <f t="shared" si="2"/>
        <v>46270</v>
      </c>
      <c r="N10" s="5">
        <v>500</v>
      </c>
      <c r="O10" s="5" t="s">
        <v>28</v>
      </c>
    </row>
    <row r="11" spans="1:16" ht="15.75" customHeight="1" x14ac:dyDescent="0.25">
      <c r="A11" s="8" t="s">
        <v>55</v>
      </c>
      <c r="B11" s="8" t="s">
        <v>56</v>
      </c>
      <c r="C11" s="8" t="s">
        <v>57</v>
      </c>
      <c r="D11" s="8">
        <v>130</v>
      </c>
      <c r="E11" s="8">
        <v>10</v>
      </c>
      <c r="F11" s="8" t="s">
        <v>58</v>
      </c>
      <c r="G11" s="8">
        <v>14</v>
      </c>
      <c r="H11" t="s">
        <v>128</v>
      </c>
      <c r="I11" t="s">
        <v>124</v>
      </c>
      <c r="J11" t="str">
        <f t="shared" si="0"/>
        <v>14-OCT</v>
      </c>
      <c r="K11" t="str">
        <f t="shared" si="1"/>
        <v>Hiking Boots Timberland</v>
      </c>
      <c r="L11" s="13">
        <v>130</v>
      </c>
      <c r="M11" s="16">
        <f t="shared" si="2"/>
        <v>46309</v>
      </c>
      <c r="N11" s="8">
        <v>130</v>
      </c>
      <c r="O11" s="8" t="s">
        <v>58</v>
      </c>
    </row>
    <row r="12" spans="1:16" ht="15.75" customHeight="1" x14ac:dyDescent="0.25">
      <c r="A12" s="5" t="s">
        <v>59</v>
      </c>
      <c r="B12" s="5" t="s">
        <v>60</v>
      </c>
      <c r="C12" s="5" t="s">
        <v>61</v>
      </c>
      <c r="D12" s="5">
        <v>950</v>
      </c>
      <c r="E12" s="5">
        <v>25</v>
      </c>
      <c r="F12" s="5" t="s">
        <v>28</v>
      </c>
      <c r="G12" s="5">
        <v>17</v>
      </c>
      <c r="H12" t="s">
        <v>123</v>
      </c>
      <c r="I12" t="s">
        <v>129</v>
      </c>
      <c r="J12" t="str">
        <f t="shared" si="0"/>
        <v>17-JUN</v>
      </c>
      <c r="K12" t="str">
        <f t="shared" si="1"/>
        <v>Laptop HP</v>
      </c>
      <c r="L12" s="12">
        <v>950</v>
      </c>
      <c r="M12" s="16">
        <f t="shared" si="2"/>
        <v>46190</v>
      </c>
      <c r="N12" s="5">
        <v>950</v>
      </c>
      <c r="O12" s="5" t="s">
        <v>28</v>
      </c>
    </row>
    <row r="13" spans="1:16" ht="15.75" customHeight="1" x14ac:dyDescent="0.25">
      <c r="A13" s="8" t="s">
        <v>62</v>
      </c>
      <c r="B13" s="8" t="s">
        <v>30</v>
      </c>
      <c r="C13" s="8" t="s">
        <v>48</v>
      </c>
      <c r="D13" s="8">
        <v>90</v>
      </c>
      <c r="E13" s="8">
        <v>40</v>
      </c>
      <c r="F13" s="8" t="s">
        <v>115</v>
      </c>
      <c r="G13" s="8">
        <v>25</v>
      </c>
      <c r="H13" t="s">
        <v>130</v>
      </c>
      <c r="I13" t="s">
        <v>131</v>
      </c>
      <c r="J13" t="str">
        <f t="shared" si="0"/>
        <v>25-NOV</v>
      </c>
      <c r="K13" t="str">
        <f t="shared" si="1"/>
        <v>Sneakers Adidas</v>
      </c>
      <c r="L13" s="13">
        <v>90</v>
      </c>
      <c r="M13" s="16">
        <f t="shared" si="2"/>
        <v>46351</v>
      </c>
      <c r="N13" s="8">
        <v>90</v>
      </c>
      <c r="O13" s="8" t="s">
        <v>115</v>
      </c>
    </row>
    <row r="14" spans="1:16" ht="15.75" customHeight="1" x14ac:dyDescent="0.25">
      <c r="A14" s="5" t="s">
        <v>63</v>
      </c>
      <c r="B14" s="5" t="s">
        <v>34</v>
      </c>
      <c r="C14" s="5" t="s">
        <v>64</v>
      </c>
      <c r="D14" s="5">
        <v>120</v>
      </c>
      <c r="E14" s="5">
        <v>35</v>
      </c>
      <c r="F14" s="5" t="s">
        <v>115</v>
      </c>
      <c r="G14" s="5">
        <v>8</v>
      </c>
      <c r="H14" t="s">
        <v>132</v>
      </c>
      <c r="I14" t="s">
        <v>133</v>
      </c>
      <c r="J14" t="str">
        <f t="shared" si="0"/>
        <v>8-DEC</v>
      </c>
      <c r="K14" t="str">
        <f t="shared" si="1"/>
        <v>Coffee Maker Nespresso</v>
      </c>
      <c r="L14" s="12">
        <v>120</v>
      </c>
      <c r="M14" s="16">
        <f t="shared" si="2"/>
        <v>46364</v>
      </c>
      <c r="N14" s="5">
        <v>120</v>
      </c>
      <c r="O14" s="5" t="s">
        <v>115</v>
      </c>
    </row>
    <row r="15" spans="1:16" ht="15.75" customHeight="1" x14ac:dyDescent="0.25">
      <c r="A15" s="8" t="s">
        <v>65</v>
      </c>
      <c r="B15" s="8" t="s">
        <v>66</v>
      </c>
      <c r="C15" s="8" t="s">
        <v>67</v>
      </c>
      <c r="D15" s="8">
        <v>150</v>
      </c>
      <c r="E15" s="8">
        <v>15</v>
      </c>
      <c r="F15" s="8" t="s">
        <v>45</v>
      </c>
      <c r="G15" s="8">
        <v>18</v>
      </c>
      <c r="H15" t="s">
        <v>119</v>
      </c>
      <c r="I15" t="s">
        <v>134</v>
      </c>
      <c r="J15" t="str">
        <f t="shared" si="0"/>
        <v>18-FEB</v>
      </c>
      <c r="K15" t="str">
        <f t="shared" si="1"/>
        <v>Smartwatch Fitbit</v>
      </c>
      <c r="L15" s="13">
        <v>150</v>
      </c>
      <c r="M15" s="16">
        <f t="shared" si="2"/>
        <v>46071</v>
      </c>
      <c r="N15" s="8">
        <v>150</v>
      </c>
      <c r="O15" s="8" t="s">
        <v>45</v>
      </c>
    </row>
    <row r="16" spans="1:16" ht="15.75" customHeight="1" x14ac:dyDescent="0.25">
      <c r="A16" s="5" t="s">
        <v>68</v>
      </c>
      <c r="B16" s="10" t="s">
        <v>43</v>
      </c>
      <c r="C16" s="5" t="s">
        <v>69</v>
      </c>
      <c r="D16" s="5">
        <v>250</v>
      </c>
      <c r="E16" s="5">
        <v>20</v>
      </c>
      <c r="F16" s="5" t="s">
        <v>45</v>
      </c>
      <c r="G16" s="5">
        <v>16</v>
      </c>
      <c r="H16" t="s">
        <v>121</v>
      </c>
      <c r="I16" t="s">
        <v>135</v>
      </c>
      <c r="J16" t="str">
        <f t="shared" si="0"/>
        <v>16-APR</v>
      </c>
      <c r="K16" t="str">
        <f t="shared" si="1"/>
        <v>Headphones Bose</v>
      </c>
      <c r="L16" s="12">
        <v>250</v>
      </c>
      <c r="M16" s="16">
        <f t="shared" si="2"/>
        <v>46128</v>
      </c>
      <c r="N16" s="5">
        <v>250</v>
      </c>
      <c r="O16" s="5" t="s">
        <v>45</v>
      </c>
    </row>
    <row r="17" spans="1:15" ht="15.75" customHeight="1" x14ac:dyDescent="0.25">
      <c r="A17" s="8" t="s">
        <v>70</v>
      </c>
      <c r="B17" s="8" t="s">
        <v>71</v>
      </c>
      <c r="C17" s="8" t="s">
        <v>72</v>
      </c>
      <c r="D17" s="8">
        <v>50</v>
      </c>
      <c r="E17" s="8">
        <v>35</v>
      </c>
      <c r="F17" s="8" t="s">
        <v>73</v>
      </c>
      <c r="G17" s="8">
        <v>21</v>
      </c>
      <c r="H17" t="s">
        <v>126</v>
      </c>
      <c r="I17" t="s">
        <v>134</v>
      </c>
      <c r="J17" t="str">
        <f t="shared" si="0"/>
        <v>21-AUG</v>
      </c>
      <c r="K17" t="str">
        <f t="shared" si="1"/>
        <v>Laptop Bag Samsonite</v>
      </c>
      <c r="L17" s="13">
        <v>50</v>
      </c>
      <c r="M17" s="16">
        <f t="shared" si="2"/>
        <v>46255</v>
      </c>
      <c r="N17" s="8">
        <v>50</v>
      </c>
      <c r="O17" s="8" t="s">
        <v>73</v>
      </c>
    </row>
    <row r="18" spans="1:15" ht="15.75" customHeight="1" x14ac:dyDescent="0.25">
      <c r="A18" s="5" t="s">
        <v>74</v>
      </c>
      <c r="B18" s="5" t="s">
        <v>66</v>
      </c>
      <c r="C18" s="5" t="s">
        <v>75</v>
      </c>
      <c r="D18" s="5">
        <v>160</v>
      </c>
      <c r="E18" s="5">
        <v>15</v>
      </c>
      <c r="F18" s="5" t="s">
        <v>45</v>
      </c>
      <c r="G18" s="5">
        <v>20</v>
      </c>
      <c r="H18" t="s">
        <v>126</v>
      </c>
      <c r="I18" t="s">
        <v>136</v>
      </c>
      <c r="J18" t="str">
        <f t="shared" si="0"/>
        <v>20-AUG</v>
      </c>
      <c r="K18" t="str">
        <f t="shared" si="1"/>
        <v>Smartwatch Huawei</v>
      </c>
      <c r="L18" s="12">
        <v>160</v>
      </c>
      <c r="M18" s="16">
        <f t="shared" si="2"/>
        <v>46254</v>
      </c>
      <c r="N18" s="5">
        <v>160</v>
      </c>
      <c r="O18" s="5" t="s">
        <v>45</v>
      </c>
    </row>
    <row r="19" spans="1:15" ht="15.75" customHeight="1" x14ac:dyDescent="0.25">
      <c r="A19" s="8" t="s">
        <v>76</v>
      </c>
      <c r="B19" s="8" t="s">
        <v>26</v>
      </c>
      <c r="C19" s="8" t="s">
        <v>77</v>
      </c>
      <c r="D19" s="8">
        <v>980</v>
      </c>
      <c r="E19" s="8">
        <v>10</v>
      </c>
      <c r="F19" s="8" t="s">
        <v>28</v>
      </c>
      <c r="G19" s="8">
        <v>27</v>
      </c>
      <c r="H19" t="s">
        <v>117</v>
      </c>
      <c r="I19" t="s">
        <v>137</v>
      </c>
      <c r="J19" t="str">
        <f t="shared" si="0"/>
        <v>27-JAN</v>
      </c>
      <c r="K19" t="str">
        <f t="shared" si="1"/>
        <v>laptop Asus</v>
      </c>
      <c r="L19" s="13">
        <v>980</v>
      </c>
      <c r="M19" s="16">
        <f t="shared" si="2"/>
        <v>46049</v>
      </c>
      <c r="N19" s="8">
        <v>980</v>
      </c>
      <c r="O19" s="8" t="s">
        <v>28</v>
      </c>
    </row>
    <row r="20" spans="1:15" ht="15.75" customHeight="1" x14ac:dyDescent="0.25">
      <c r="A20" s="5" t="s">
        <v>78</v>
      </c>
      <c r="B20" s="5" t="s">
        <v>79</v>
      </c>
      <c r="C20" s="5" t="s">
        <v>80</v>
      </c>
      <c r="D20" s="5">
        <v>150</v>
      </c>
      <c r="E20" s="5">
        <v>15</v>
      </c>
      <c r="F20" s="5" t="s">
        <v>32</v>
      </c>
      <c r="G20" s="5">
        <v>1</v>
      </c>
      <c r="H20" t="s">
        <v>120</v>
      </c>
      <c r="I20" t="s">
        <v>124</v>
      </c>
      <c r="J20" t="str">
        <f t="shared" si="0"/>
        <v>1-MAR</v>
      </c>
      <c r="K20" t="str">
        <f t="shared" si="1"/>
        <v>Sunglasses Oakley</v>
      </c>
      <c r="L20" s="12">
        <v>150</v>
      </c>
      <c r="M20" s="16">
        <f t="shared" si="2"/>
        <v>46082</v>
      </c>
      <c r="N20" s="5">
        <v>150</v>
      </c>
      <c r="O20" s="5" t="s">
        <v>32</v>
      </c>
    </row>
    <row r="21" spans="1:15" ht="15.75" customHeight="1" x14ac:dyDescent="0.25">
      <c r="A21" s="8" t="s">
        <v>81</v>
      </c>
      <c r="B21" s="8" t="s">
        <v>82</v>
      </c>
      <c r="C21" s="8" t="s">
        <v>83</v>
      </c>
      <c r="D21" s="8" t="s">
        <v>114</v>
      </c>
      <c r="E21" s="8">
        <v>10</v>
      </c>
      <c r="F21" s="8" t="s">
        <v>58</v>
      </c>
      <c r="G21" s="8">
        <v>14</v>
      </c>
      <c r="H21" t="s">
        <v>126</v>
      </c>
      <c r="I21" t="s">
        <v>118</v>
      </c>
      <c r="J21" t="str">
        <f t="shared" si="0"/>
        <v>14-AUG</v>
      </c>
      <c r="K21" t="str">
        <f t="shared" si="1"/>
        <v>Camping Tent Coleman</v>
      </c>
      <c r="L21" s="13" t="s">
        <v>114</v>
      </c>
      <c r="M21" s="16">
        <f t="shared" si="2"/>
        <v>46248</v>
      </c>
      <c r="N21" s="8" t="s">
        <v>114</v>
      </c>
      <c r="O21" s="8" t="s">
        <v>58</v>
      </c>
    </row>
    <row r="22" spans="1:15" ht="15.75" customHeight="1" x14ac:dyDescent="0.25">
      <c r="A22" s="5" t="s">
        <v>84</v>
      </c>
      <c r="B22" s="5" t="s">
        <v>85</v>
      </c>
      <c r="C22" s="5" t="s">
        <v>86</v>
      </c>
      <c r="D22" s="5">
        <v>700</v>
      </c>
      <c r="E22" s="5">
        <v>50</v>
      </c>
      <c r="F22" s="5" t="s">
        <v>28</v>
      </c>
      <c r="G22" s="5">
        <v>14</v>
      </c>
      <c r="H22" t="s">
        <v>122</v>
      </c>
      <c r="I22" t="s">
        <v>138</v>
      </c>
      <c r="J22" t="str">
        <f t="shared" si="0"/>
        <v>14-MAY</v>
      </c>
      <c r="K22" t="str">
        <f t="shared" si="1"/>
        <v>Camera Nikon</v>
      </c>
      <c r="L22" s="12">
        <v>700</v>
      </c>
      <c r="M22" s="16">
        <f t="shared" si="2"/>
        <v>46156</v>
      </c>
      <c r="N22" s="5">
        <v>700</v>
      </c>
      <c r="O22" s="5" t="s">
        <v>28</v>
      </c>
    </row>
    <row r="23" spans="1:15" ht="15.75" customHeight="1" x14ac:dyDescent="0.25">
      <c r="A23" s="8" t="s">
        <v>87</v>
      </c>
      <c r="B23" s="8" t="s">
        <v>88</v>
      </c>
      <c r="C23" s="8" t="s">
        <v>89</v>
      </c>
      <c r="D23" s="8">
        <v>80</v>
      </c>
      <c r="E23" s="8">
        <v>20</v>
      </c>
      <c r="F23" s="8" t="s">
        <v>36</v>
      </c>
      <c r="G23" s="8">
        <v>9</v>
      </c>
      <c r="H23" t="s">
        <v>117</v>
      </c>
      <c r="I23" t="s">
        <v>134</v>
      </c>
      <c r="J23" t="str">
        <f t="shared" si="0"/>
        <v>9-JAN</v>
      </c>
      <c r="K23" t="str">
        <f t="shared" si="1"/>
        <v>Microwave Panasonic</v>
      </c>
      <c r="L23" s="13">
        <v>80</v>
      </c>
      <c r="M23" s="16">
        <f t="shared" si="2"/>
        <v>46031</v>
      </c>
      <c r="N23" s="8">
        <v>80</v>
      </c>
      <c r="O23" s="8" t="s">
        <v>36</v>
      </c>
    </row>
    <row r="24" spans="1:15" ht="15.75" customHeight="1" x14ac:dyDescent="0.25">
      <c r="A24" s="5" t="s">
        <v>90</v>
      </c>
      <c r="B24" s="5" t="s">
        <v>91</v>
      </c>
      <c r="C24" s="5" t="s">
        <v>92</v>
      </c>
      <c r="D24" s="5">
        <v>150</v>
      </c>
      <c r="E24" s="5">
        <v>30</v>
      </c>
      <c r="F24" s="5" t="s">
        <v>115</v>
      </c>
      <c r="G24" s="5">
        <v>19</v>
      </c>
      <c r="H24" t="s">
        <v>125</v>
      </c>
      <c r="I24" t="s">
        <v>139</v>
      </c>
      <c r="J24" t="str">
        <f t="shared" si="0"/>
        <v>19-JUL</v>
      </c>
      <c r="K24" t="str">
        <f t="shared" si="1"/>
        <v>Fitness Tracker Xiaomi</v>
      </c>
      <c r="L24" s="12">
        <v>150</v>
      </c>
      <c r="M24" s="16">
        <f t="shared" si="2"/>
        <v>46222</v>
      </c>
      <c r="N24" s="5">
        <v>150</v>
      </c>
      <c r="O24" s="5" t="s">
        <v>115</v>
      </c>
    </row>
    <row r="25" spans="1:15" ht="15.75" customHeight="1" x14ac:dyDescent="0.25">
      <c r="A25" s="5" t="s">
        <v>93</v>
      </c>
      <c r="B25" s="10" t="s">
        <v>43</v>
      </c>
      <c r="C25" s="5" t="s">
        <v>95</v>
      </c>
      <c r="D25" s="5">
        <v>800</v>
      </c>
      <c r="E25" s="5">
        <v>45</v>
      </c>
      <c r="F25" s="5" t="s">
        <v>28</v>
      </c>
      <c r="G25" s="5">
        <v>29</v>
      </c>
      <c r="H25" t="s">
        <v>127</v>
      </c>
      <c r="I25" t="s">
        <v>134</v>
      </c>
      <c r="J25" t="str">
        <f t="shared" si="0"/>
        <v>29-SEP</v>
      </c>
      <c r="K25" t="str">
        <f t="shared" si="1"/>
        <v>Headphones Google</v>
      </c>
      <c r="L25" s="12">
        <v>800</v>
      </c>
      <c r="M25" s="16">
        <f t="shared" si="2"/>
        <v>46294</v>
      </c>
      <c r="N25" s="5">
        <v>800</v>
      </c>
      <c r="O25" s="5" t="s">
        <v>28</v>
      </c>
    </row>
    <row r="26" spans="1:15" ht="15.75" customHeight="1" x14ac:dyDescent="0.25">
      <c r="A26" s="8" t="s">
        <v>96</v>
      </c>
      <c r="B26" s="8" t="s">
        <v>79</v>
      </c>
      <c r="C26" s="8" t="s">
        <v>97</v>
      </c>
      <c r="D26" s="8" t="s">
        <v>114</v>
      </c>
      <c r="E26" s="8">
        <v>25</v>
      </c>
      <c r="F26" s="8" t="s">
        <v>32</v>
      </c>
      <c r="G26" s="8">
        <v>3</v>
      </c>
      <c r="H26" t="s">
        <v>123</v>
      </c>
      <c r="I26" t="s">
        <v>134</v>
      </c>
      <c r="J26" t="str">
        <f t="shared" si="0"/>
        <v>3-JUN</v>
      </c>
      <c r="K26" t="str">
        <f t="shared" si="1"/>
        <v>Sunglasses Ray-Ban</v>
      </c>
      <c r="L26" s="13" t="s">
        <v>114</v>
      </c>
      <c r="M26" s="16">
        <f t="shared" si="2"/>
        <v>46176</v>
      </c>
      <c r="N26" s="8" t="s">
        <v>114</v>
      </c>
      <c r="O26" s="8" t="s">
        <v>32</v>
      </c>
    </row>
    <row r="27" spans="1:15" ht="15.75" customHeight="1" x14ac:dyDescent="0.25">
      <c r="A27" s="5" t="s">
        <v>98</v>
      </c>
      <c r="B27" s="10" t="s">
        <v>50</v>
      </c>
      <c r="C27" s="5" t="s">
        <v>99</v>
      </c>
      <c r="D27" s="5">
        <v>400</v>
      </c>
      <c r="E27" s="5">
        <v>40</v>
      </c>
      <c r="F27" s="5" t="s">
        <v>36</v>
      </c>
      <c r="G27" s="5">
        <v>11</v>
      </c>
      <c r="H27" t="s">
        <v>125</v>
      </c>
      <c r="I27" t="s">
        <v>134</v>
      </c>
      <c r="J27" t="str">
        <f t="shared" si="0"/>
        <v>11-JUL</v>
      </c>
      <c r="K27" t="str">
        <f t="shared" si="1"/>
        <v>Blender Vitamix</v>
      </c>
      <c r="L27" s="12">
        <v>400</v>
      </c>
      <c r="M27" s="16">
        <f t="shared" si="2"/>
        <v>46214</v>
      </c>
      <c r="N27" s="5">
        <v>400</v>
      </c>
      <c r="O27" s="5" t="s">
        <v>36</v>
      </c>
    </row>
    <row r="28" spans="1:15" ht="15.75" customHeight="1" x14ac:dyDescent="0.25">
      <c r="A28" s="5" t="s">
        <v>100</v>
      </c>
      <c r="B28" s="5" t="s">
        <v>101</v>
      </c>
      <c r="C28" s="5" t="s">
        <v>102</v>
      </c>
      <c r="D28" s="5">
        <v>60</v>
      </c>
      <c r="E28" s="5">
        <v>30</v>
      </c>
      <c r="F28" s="5" t="s">
        <v>32</v>
      </c>
      <c r="G28" s="5">
        <v>7</v>
      </c>
      <c r="H28" t="s">
        <v>120</v>
      </c>
      <c r="I28" t="s">
        <v>134</v>
      </c>
      <c r="J28" t="str">
        <f t="shared" si="0"/>
        <v>7-MAR</v>
      </c>
      <c r="K28" t="str">
        <f t="shared" si="1"/>
        <v>Dress Zara</v>
      </c>
      <c r="L28" s="12">
        <v>60</v>
      </c>
      <c r="M28" s="16">
        <f t="shared" si="2"/>
        <v>46088</v>
      </c>
      <c r="N28" s="5">
        <v>60</v>
      </c>
      <c r="O28" s="5" t="s">
        <v>32</v>
      </c>
    </row>
    <row r="29" spans="1:15" ht="15.75" customHeight="1" x14ac:dyDescent="0.25">
      <c r="A29" s="8" t="s">
        <v>103</v>
      </c>
      <c r="B29" s="8" t="s">
        <v>104</v>
      </c>
      <c r="C29" s="8" t="s">
        <v>105</v>
      </c>
      <c r="D29" s="8">
        <v>40</v>
      </c>
      <c r="E29" s="8">
        <v>10</v>
      </c>
      <c r="F29" s="8" t="s">
        <v>36</v>
      </c>
      <c r="G29" s="8">
        <v>13</v>
      </c>
      <c r="H29" t="s">
        <v>121</v>
      </c>
      <c r="I29" t="s">
        <v>134</v>
      </c>
      <c r="J29" t="str">
        <f t="shared" si="0"/>
        <v>13-APR</v>
      </c>
      <c r="K29" t="str">
        <f t="shared" si="1"/>
        <v>Toaster Hamilton</v>
      </c>
      <c r="L29" s="13">
        <v>40</v>
      </c>
      <c r="M29" s="16">
        <f t="shared" si="2"/>
        <v>46125</v>
      </c>
      <c r="N29" s="8">
        <v>40</v>
      </c>
      <c r="O29" s="8" t="s">
        <v>36</v>
      </c>
    </row>
    <row r="30" spans="1:15" ht="15.75" customHeight="1" x14ac:dyDescent="0.25">
      <c r="A30" s="5" t="s">
        <v>106</v>
      </c>
      <c r="B30" s="5" t="s">
        <v>91</v>
      </c>
      <c r="C30" s="5" t="s">
        <v>107</v>
      </c>
      <c r="D30" s="5">
        <v>130</v>
      </c>
      <c r="E30" s="5">
        <v>5</v>
      </c>
      <c r="F30" s="5" t="s">
        <v>28</v>
      </c>
      <c r="G30" s="5">
        <v>24</v>
      </c>
      <c r="H30" t="s">
        <v>122</v>
      </c>
      <c r="I30" t="s">
        <v>134</v>
      </c>
      <c r="J30" t="str">
        <f t="shared" si="0"/>
        <v>24-MAY</v>
      </c>
      <c r="K30" t="str">
        <f t="shared" si="1"/>
        <v>Fitness Tracker Garmin</v>
      </c>
      <c r="L30" s="12">
        <v>130</v>
      </c>
      <c r="M30" s="16">
        <f t="shared" si="2"/>
        <v>46166</v>
      </c>
      <c r="N30" s="5">
        <v>130</v>
      </c>
      <c r="O30" s="5" t="s">
        <v>28</v>
      </c>
    </row>
    <row r="31" spans="1:15" ht="15.75" customHeight="1" x14ac:dyDescent="0.25">
      <c r="A31" s="8" t="s">
        <v>108</v>
      </c>
      <c r="B31" s="8" t="s">
        <v>109</v>
      </c>
      <c r="C31" s="8" t="s">
        <v>110</v>
      </c>
      <c r="D31" s="8">
        <v>50</v>
      </c>
      <c r="E31" s="8">
        <v>50</v>
      </c>
      <c r="F31" s="8" t="s">
        <v>32</v>
      </c>
      <c r="G31" s="8">
        <v>2</v>
      </c>
      <c r="H31" t="s">
        <v>132</v>
      </c>
      <c r="I31" t="s">
        <v>134</v>
      </c>
      <c r="J31" t="str">
        <f t="shared" si="0"/>
        <v>2-DEC</v>
      </c>
      <c r="K31" t="str">
        <f t="shared" si="1"/>
        <v>Jeans Levi's</v>
      </c>
      <c r="L31" s="13">
        <v>50</v>
      </c>
      <c r="M31" s="16">
        <f t="shared" si="2"/>
        <v>46358</v>
      </c>
      <c r="N31" s="8">
        <v>50</v>
      </c>
      <c r="O31" s="8" t="s">
        <v>32</v>
      </c>
    </row>
    <row r="32" spans="1:15" ht="15.75" customHeight="1" x14ac:dyDescent="0.25">
      <c r="A32" s="8" t="s">
        <v>111</v>
      </c>
      <c r="B32" s="8" t="s">
        <v>112</v>
      </c>
      <c r="C32" s="8" t="s">
        <v>113</v>
      </c>
      <c r="D32" s="8">
        <v>100</v>
      </c>
      <c r="E32" s="8">
        <v>20</v>
      </c>
      <c r="F32" s="8" t="s">
        <v>73</v>
      </c>
      <c r="G32" s="8">
        <v>9</v>
      </c>
      <c r="H32" t="s">
        <v>125</v>
      </c>
      <c r="I32" t="s">
        <v>140</v>
      </c>
      <c r="J32" t="str">
        <f t="shared" si="0"/>
        <v>9-JUL</v>
      </c>
      <c r="K32" t="str">
        <f t="shared" si="1"/>
        <v>Watch Casio</v>
      </c>
      <c r="L32" s="13">
        <v>100</v>
      </c>
      <c r="M32" s="16">
        <f t="shared" si="2"/>
        <v>46212</v>
      </c>
      <c r="N32" s="8">
        <v>100</v>
      </c>
      <c r="O32" s="8" t="s">
        <v>73</v>
      </c>
    </row>
    <row r="33" spans="2:2" ht="15.75" customHeight="1" x14ac:dyDescent="0.25"/>
    <row r="34" spans="2:2" ht="15.75" customHeight="1" x14ac:dyDescent="0.25"/>
    <row r="35" spans="2:2" ht="15.75" customHeight="1" x14ac:dyDescent="0.25">
      <c r="B35" s="14" t="s">
        <v>148</v>
      </c>
    </row>
    <row r="36" spans="2:2" ht="15.75" customHeight="1" x14ac:dyDescent="0.25"/>
    <row r="37" spans="2:2" ht="15.75" customHeight="1" x14ac:dyDescent="0.25"/>
    <row r="38" spans="2:2" ht="15.75" customHeight="1" x14ac:dyDescent="0.25"/>
    <row r="39" spans="2:2" ht="15.75" customHeight="1" x14ac:dyDescent="0.25"/>
    <row r="40" spans="2:2" ht="15.75" customHeight="1" x14ac:dyDescent="0.25"/>
    <row r="41" spans="2:2" ht="15.75" customHeight="1" x14ac:dyDescent="0.25"/>
    <row r="42" spans="2:2" ht="15.75" customHeight="1" x14ac:dyDescent="0.25"/>
    <row r="43" spans="2:2" ht="15.75" customHeight="1" x14ac:dyDescent="0.25"/>
    <row r="44" spans="2:2" ht="15.75" customHeight="1" x14ac:dyDescent="0.25"/>
    <row r="45" spans="2:2" ht="15.75" customHeight="1" x14ac:dyDescent="0.25"/>
    <row r="46" spans="2:2" ht="15.75" customHeight="1" x14ac:dyDescent="0.25"/>
    <row r="47" spans="2:2" ht="15.75" customHeight="1" x14ac:dyDescent="0.25"/>
    <row r="48" spans="2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G1:H1"/>
  </mergeCells>
  <conditionalFormatting sqref="N2:N32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{CE75165B-CAAD-4F9D-BBB1-B46A3CD14683}</x14:id>
        </ext>
      </extLst>
    </cfRule>
  </conditionalFormatting>
  <conditionalFormatting sqref="O2:O32">
    <cfRule type="expression" dxfId="0" priority="1">
      <formula>O2="Electronics"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75165B-CAAD-4F9D-BBB1-B46A3CD1468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N2:N32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Teena k t</cp:lastModifiedBy>
  <dcterms:modified xsi:type="dcterms:W3CDTF">2026-10-12T09:11:47Z</dcterms:modified>
</cp:coreProperties>
</file>